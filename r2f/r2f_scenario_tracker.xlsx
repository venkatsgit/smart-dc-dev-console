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ppelgroup-my.sharepoint.com/personal/venkatesh_s_keppel_com/Documents/Documents/GitHub/smart-dc-dev-console/r2f/"/>
    </mc:Choice>
  </mc:AlternateContent>
  <xr:revisionPtr revIDLastSave="0" documentId="8_{FB26F9DC-937C-4435-9882-A48D189AE091}" xr6:coauthVersionLast="47" xr6:coauthVersionMax="47" xr10:uidLastSave="{00000000-0000-0000-0000-000000000000}"/>
  <bookViews>
    <workbookView xWindow="28680" yWindow="-120" windowWidth="29040" windowHeight="15720" xr2:uid="{AFB0B1BD-EEEA-4C76-AA99-5313F3AF676C}"/>
  </bookViews>
  <sheets>
    <sheet name="r2f_scenario_tracker" sheetId="1" r:id="rId1"/>
  </sheets>
  <calcPr calcId="0"/>
</workbook>
</file>

<file path=xl/sharedStrings.xml><?xml version="1.0" encoding="utf-8"?>
<sst xmlns="http://schemas.openxmlformats.org/spreadsheetml/2006/main" count="103" uniqueCount="71">
  <si>
    <t>No</t>
  </si>
  <si>
    <t>Scenario ID</t>
  </si>
  <si>
    <t>Source</t>
  </si>
  <si>
    <t>Root Cause</t>
  </si>
  <si>
    <t>Final Stage</t>
  </si>
  <si>
    <t>Chain Effect</t>
  </si>
  <si>
    <t>Status</t>
  </si>
  <si>
    <t>healthy</t>
  </si>
  <si>
    <t>RDA Baseline</t>
  </si>
  <si>
    <t>Normal operation baseline.</t>
  </si>
  <si>
    <t>N/A</t>
  </si>
  <si>
    <t>Baseline performance at 80% and 58% load.</t>
  </si>
  <si>
    <t>Received</t>
  </si>
  <si>
    <t>condenser_fouling</t>
  </si>
  <si>
    <t>ASHRAE RP-1043</t>
  </si>
  <si>
    <t>Scale buildup on water tubes (SL1-SL4).</t>
  </si>
  <si>
    <t>Performance Degradation</t>
  </si>
  <si>
    <t>Reduced heat transfer efficiency; approach temperature widens.</t>
  </si>
  <si>
    <t>evaporator_fouling</t>
  </si>
  <si>
    <t>Scale buildup on chilled water tubes (SL1-SL4).</t>
  </si>
  <si>
    <t>Reduced cooling capacity; evaporator approach widens.</t>
  </si>
  <si>
    <t>refrigerant_gas_leak</t>
  </si>
  <si>
    <t>Discharge-side gas leak (Slow/Moderate).</t>
  </si>
  <si>
    <t>High Superheat Trip</t>
  </si>
  <si>
    <t>Starvation of evaporator; loss of subcooling; eventual thermal trip.</t>
  </si>
  <si>
    <t>refrigerant_liquid_leak</t>
  </si>
  <si>
    <t>High-side liquid line leak (Slow/Moderate).</t>
  </si>
  <si>
    <t>Rapid loss of charge; pressure collapse; protection trip.</t>
  </si>
  <si>
    <t>reduced_condenser_water_flow</t>
  </si>
  <si>
    <t>Pump degradation or valve blockage.</t>
  </si>
  <si>
    <t>High Condenser Pressure</t>
  </si>
  <si>
    <t>Water flow falls, causing heat exchange to stall. Head pressure rises rapidly as the condenser can no longer reject heat.</t>
  </si>
  <si>
    <t>Pending</t>
  </si>
  <si>
    <t>reduced_evaporator_water_flow</t>
  </si>
  <si>
    <t>CHW pump failure or strainer clog.</t>
  </si>
  <si>
    <t>Low Evap Pressure / Freeze</t>
  </si>
  <si>
    <t>Flow through the evaporator drops. The refrigerant over-cools the stagnant water, risking a freeze-up trip.</t>
  </si>
  <si>
    <t>refrigerant_overcharge</t>
  </si>
  <si>
    <t>Maintenance error (too much gas added).</t>
  </si>
  <si>
    <t>Excess liquid stacks up in the condenser, reducing available surface area. Subcooling rises while head pressure climbs.</t>
  </si>
  <si>
    <t>noncondensable_gas</t>
  </si>
  <si>
    <t>Air/moisture leaked into the low side.</t>
  </si>
  <si>
    <t>Air creates a blanket in the condenser that refrigerant cannot penetrate. This causes high head pressure similar to fouling, but persists after cleaning.</t>
  </si>
  <si>
    <t>excess_oil</t>
  </si>
  <si>
    <t>Oil migration from sump to tubes.</t>
  </si>
  <si>
    <t>Capacity Loss</t>
  </si>
  <si>
    <t>Oil coats the evaporator tubes, creating a thermal barrier. The machine loses cooling capacity even though the refrigerant charge is correct.</t>
  </si>
  <si>
    <t>expansion_valve_stuck_closed</t>
  </si>
  <si>
    <t>OEM (Carrier/Trane/York/Daikin)</t>
  </si>
  <si>
    <t>Expansion valve motor/linkage failure.</t>
  </si>
  <si>
    <t>The gate is closed. Refrigerant piles up in the condenser, starving the evaporator. Superheat spikes and the machine trips to protect the compressor.</t>
  </si>
  <si>
    <t>expansion_valve_stuck_open</t>
  </si>
  <si>
    <t>Expansion valve failure (full open).</t>
  </si>
  <si>
    <t>Compressor Slugging</t>
  </si>
  <si>
    <t>The gate is wide open. Liquid refrigerant floods the evaporator and enters the compressor suction, risking catastrophic slugging as liquid hits the spinning blades.</t>
  </si>
  <si>
    <t>igv_stuck_closed</t>
  </si>
  <si>
    <t>Inlet Guide Vane actuator failure.</t>
  </si>
  <si>
    <t>Capacity Shortfall / Surge</t>
  </si>
  <si>
    <t>The throttle is stuck at idle. The building gets hot because the chiller cannot ramp up, and the low flow puts the machine at risk of surging.</t>
  </si>
  <si>
    <t>cooling_tower_fan_failed</t>
  </si>
  <si>
    <t>Tower fan motor or belt failure.</t>
  </si>
  <si>
    <t>High Entering CW Temp</t>
  </si>
  <si>
    <t>Water returning from the tower gets hotter. This forces condenser pressure up until the compressor can no longer climb the pressure hill.</t>
  </si>
  <si>
    <t>low_oil_pressure</t>
  </si>
  <si>
    <t>Oil pump failure or plugged filter.</t>
  </si>
  <si>
    <t>Low Oil Î”P Trip</t>
  </si>
  <si>
    <t>The oil pump loses its pressure fight against the refrigerant. Without a differential pressure of 18–25 psid, the bearings lose their oil film and the machine trips to prevent damage.</t>
  </si>
  <si>
    <t>compressor_surge</t>
  </si>
  <si>
    <t>High Lift vs. Low Flow imbalance.</t>
  </si>
  <si>
    <t>Surge Trip (Vibration)</t>
  </si>
  <si>
    <t>Refrigerant gas loses momentum and falls backward through the impeller. This creates violent vibration shocks and power pulses until the machine trips.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</si>
</sst>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"/>
    </font>
    <font>
      <b/>
      <sz val="11"/>
      <color rgb="FFFFFFFF"/>
      <name val="Aptos"/>
    </font>
    <font>
      <b/>
      <sz val="10"/>
      <color theme="1"/>
      <name val="Aptos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7365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7FA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ck">
        <color rgb="FFC9A227"/>
      </top>
      <bottom style="thin">
        <color rgb="FFE7ECF1"/>
      </bottom>
      <diagonal/>
    </border>
    <border>
      <left/>
      <right/>
      <top style="thin">
        <color rgb="FFE7ECF1"/>
      </top>
      <bottom style="thin">
        <color rgb="FFE7ECF1"/>
      </bottom>
      <diagonal/>
    </border>
    <border>
      <left/>
      <right/>
      <top style="thin">
        <color rgb="FFE7ECF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9" fillId="33" borderId="0" xfId="0" applyFont="1" applyFill="1" applyBorder="1" applyAlignment="1">
      <alignment vertical="center" wrapText="1"/>
    </xf>
    <xf numFmtId="0" fontId="18" fillId="34" borderId="10" xfId="0" applyFont="1" applyFill="1" applyBorder="1" applyAlignment="1">
      <alignment vertical="center"/>
    </xf>
    <xf numFmtId="0" fontId="18" fillId="34" borderId="11" xfId="0" applyFont="1" applyFill="1" applyBorder="1" applyAlignment="1">
      <alignment vertical="center"/>
    </xf>
    <xf numFmtId="0" fontId="18" fillId="35" borderId="11" xfId="0" applyFont="1" applyFill="1" applyBorder="1" applyAlignment="1">
      <alignment vertical="center"/>
    </xf>
    <xf numFmtId="0" fontId="18" fillId="35" borderId="12" xfId="0" applyFont="1" applyFill="1" applyBorder="1" applyAlignment="1">
      <alignment vertical="center"/>
    </xf>
    <xf numFmtId="0" fontId="18" fillId="34" borderId="10" xfId="0" applyFont="1" applyFill="1" applyBorder="1" applyAlignment="1">
      <alignment horizontal="center" vertical="center"/>
    </xf>
    <xf numFmtId="0" fontId="18" fillId="35" borderId="11" xfId="0" applyFont="1" applyFill="1" applyBorder="1" applyAlignment="1">
      <alignment horizontal="center" vertical="center"/>
    </xf>
    <xf numFmtId="0" fontId="18" fillId="34" borderId="11" xfId="0" applyFont="1" applyFill="1" applyBorder="1" applyAlignment="1">
      <alignment horizontal="center" vertical="center"/>
    </xf>
    <xf numFmtId="0" fontId="18" fillId="35" borderId="12" xfId="0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left" vertical="center" wrapText="1"/>
    </xf>
    <xf numFmtId="0" fontId="18" fillId="35" borderId="11" xfId="0" applyFont="1" applyFill="1" applyBorder="1" applyAlignment="1">
      <alignment horizontal="left" vertical="center" wrapText="1"/>
    </xf>
    <xf numFmtId="0" fontId="18" fillId="34" borderId="11" xfId="0" applyFont="1" applyFill="1" applyBorder="1" applyAlignment="1">
      <alignment horizontal="left" vertical="center" wrapText="1"/>
    </xf>
    <xf numFmtId="0" fontId="18" fillId="35" borderId="12" xfId="0" applyFont="1" applyFill="1" applyBorder="1" applyAlignment="1">
      <alignment horizontal="left" vertical="center" wrapText="1"/>
    </xf>
    <xf numFmtId="0" fontId="20" fillId="34" borderId="10" xfId="0" applyFont="1" applyFill="1" applyBorder="1" applyAlignment="1">
      <alignment horizontal="center" vertical="center"/>
    </xf>
    <xf numFmtId="0" fontId="20" fillId="35" borderId="11" xfId="0" applyFont="1" applyFill="1" applyBorder="1" applyAlignment="1">
      <alignment horizontal="center" vertical="center"/>
    </xf>
    <xf numFmtId="0" fontId="20" fillId="34" borderId="11" xfId="0" applyFont="1" applyFill="1" applyBorder="1" applyAlignment="1">
      <alignment horizontal="center" vertical="center"/>
    </xf>
    <xf numFmtId="0" fontId="20" fillId="35" borderId="12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17365D"/>
      </font>
      <fill>
        <patternFill patternType="solid">
          <fgColor indexed="64"/>
          <bgColor rgb="FFDDEB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575BC-1702-4C91-8419-C3733FC866D6}">
  <dimension ref="A1:G17"/>
  <sheetViews>
    <sheetView tabSelected="1" workbookViewId="0"/>
  </sheetViews>
  <sheetFormatPr defaultRowHeight="14.5" x14ac:dyDescent="0.35"/>
  <cols>
    <col min="1" max="1" width="7.6328125" customWidth="1"/>
    <col min="2" max="2" width="28.1796875" customWidth="1"/>
    <col min="3" max="3" width="31.81640625" customWidth="1"/>
    <col min="4" max="4" width="41.81640625" customWidth="1"/>
    <col min="5" max="5" width="30" customWidth="1"/>
    <col min="6" max="6" width="54.54296875" customWidth="1"/>
    <col min="7" max="7" width="15.453125" customWidth="1"/>
  </cols>
  <sheetData>
    <row r="1" spans="1:7" ht="30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thickTop="1" x14ac:dyDescent="0.35">
      <c r="A2" s="6">
        <v>1</v>
      </c>
      <c r="B2" s="2" t="s">
        <v>7</v>
      </c>
      <c r="C2" s="2" t="s">
        <v>8</v>
      </c>
      <c r="D2" s="10" t="s">
        <v>9</v>
      </c>
      <c r="E2" s="10" t="s">
        <v>10</v>
      </c>
      <c r="F2" s="10" t="s">
        <v>11</v>
      </c>
      <c r="G2" s="14" t="s">
        <v>12</v>
      </c>
    </row>
    <row r="3" spans="1:7" x14ac:dyDescent="0.35">
      <c r="A3" s="7">
        <v>2</v>
      </c>
      <c r="B3" s="4" t="s">
        <v>13</v>
      </c>
      <c r="C3" s="4" t="s">
        <v>14</v>
      </c>
      <c r="D3" s="11" t="s">
        <v>15</v>
      </c>
      <c r="E3" s="11" t="s">
        <v>16</v>
      </c>
      <c r="F3" s="11" t="s">
        <v>17</v>
      </c>
      <c r="G3" s="15" t="s">
        <v>12</v>
      </c>
    </row>
    <row r="4" spans="1:7" x14ac:dyDescent="0.35">
      <c r="A4" s="8">
        <v>3</v>
      </c>
      <c r="B4" s="3" t="s">
        <v>18</v>
      </c>
      <c r="C4" s="3" t="s">
        <v>14</v>
      </c>
      <c r="D4" s="12" t="s">
        <v>19</v>
      </c>
      <c r="E4" s="12" t="s">
        <v>16</v>
      </c>
      <c r="F4" s="12" t="s">
        <v>20</v>
      </c>
      <c r="G4" s="16" t="s">
        <v>12</v>
      </c>
    </row>
    <row r="5" spans="1:7" x14ac:dyDescent="0.35">
      <c r="A5" s="7">
        <v>4</v>
      </c>
      <c r="B5" s="4" t="s">
        <v>21</v>
      </c>
      <c r="C5" s="4" t="s">
        <v>14</v>
      </c>
      <c r="D5" s="11" t="s">
        <v>22</v>
      </c>
      <c r="E5" s="11" t="s">
        <v>23</v>
      </c>
      <c r="F5" s="11" t="s">
        <v>24</v>
      </c>
      <c r="G5" s="15" t="s">
        <v>12</v>
      </c>
    </row>
    <row r="6" spans="1:7" x14ac:dyDescent="0.35">
      <c r="A6" s="8">
        <v>5</v>
      </c>
      <c r="B6" s="3" t="s">
        <v>25</v>
      </c>
      <c r="C6" s="3" t="s">
        <v>14</v>
      </c>
      <c r="D6" s="12" t="s">
        <v>26</v>
      </c>
      <c r="E6" s="12" t="s">
        <v>23</v>
      </c>
      <c r="F6" s="12" t="s">
        <v>27</v>
      </c>
      <c r="G6" s="16" t="s">
        <v>12</v>
      </c>
    </row>
    <row r="7" spans="1:7" ht="26" x14ac:dyDescent="0.35">
      <c r="A7" s="7">
        <v>6</v>
      </c>
      <c r="B7" s="4" t="s">
        <v>28</v>
      </c>
      <c r="C7" s="4" t="s">
        <v>14</v>
      </c>
      <c r="D7" s="11" t="s">
        <v>29</v>
      </c>
      <c r="E7" s="11" t="s">
        <v>30</v>
      </c>
      <c r="F7" s="11" t="s">
        <v>31</v>
      </c>
      <c r="G7" s="15" t="s">
        <v>32</v>
      </c>
    </row>
    <row r="8" spans="1:7" ht="26" x14ac:dyDescent="0.35">
      <c r="A8" s="8">
        <v>7</v>
      </c>
      <c r="B8" s="3" t="s">
        <v>33</v>
      </c>
      <c r="C8" s="3" t="s">
        <v>14</v>
      </c>
      <c r="D8" s="12" t="s">
        <v>34</v>
      </c>
      <c r="E8" s="12" t="s">
        <v>35</v>
      </c>
      <c r="F8" s="12" t="s">
        <v>36</v>
      </c>
      <c r="G8" s="16" t="s">
        <v>32</v>
      </c>
    </row>
    <row r="9" spans="1:7" ht="26" x14ac:dyDescent="0.35">
      <c r="A9" s="7">
        <v>8</v>
      </c>
      <c r="B9" s="4" t="s">
        <v>37</v>
      </c>
      <c r="C9" s="4" t="s">
        <v>14</v>
      </c>
      <c r="D9" s="11" t="s">
        <v>38</v>
      </c>
      <c r="E9" s="11" t="s">
        <v>30</v>
      </c>
      <c r="F9" s="11" t="s">
        <v>39</v>
      </c>
      <c r="G9" s="15" t="s">
        <v>32</v>
      </c>
    </row>
    <row r="10" spans="1:7" ht="39" x14ac:dyDescent="0.35">
      <c r="A10" s="8">
        <v>9</v>
      </c>
      <c r="B10" s="3" t="s">
        <v>40</v>
      </c>
      <c r="C10" s="3" t="s">
        <v>14</v>
      </c>
      <c r="D10" s="12" t="s">
        <v>41</v>
      </c>
      <c r="E10" s="12" t="s">
        <v>30</v>
      </c>
      <c r="F10" s="12" t="s">
        <v>42</v>
      </c>
      <c r="G10" s="16" t="s">
        <v>32</v>
      </c>
    </row>
    <row r="11" spans="1:7" ht="39" x14ac:dyDescent="0.35">
      <c r="A11" s="7">
        <v>10</v>
      </c>
      <c r="B11" s="4" t="s">
        <v>43</v>
      </c>
      <c r="C11" s="4" t="s">
        <v>14</v>
      </c>
      <c r="D11" s="11" t="s">
        <v>44</v>
      </c>
      <c r="E11" s="11" t="s">
        <v>45</v>
      </c>
      <c r="F11" s="11" t="s">
        <v>46</v>
      </c>
      <c r="G11" s="15" t="s">
        <v>32</v>
      </c>
    </row>
    <row r="12" spans="1:7" ht="39" x14ac:dyDescent="0.35">
      <c r="A12" s="8">
        <v>11</v>
      </c>
      <c r="B12" s="3" t="s">
        <v>47</v>
      </c>
      <c r="C12" s="3" t="s">
        <v>48</v>
      </c>
      <c r="D12" s="12" t="s">
        <v>49</v>
      </c>
      <c r="E12" s="12" t="s">
        <v>23</v>
      </c>
      <c r="F12" s="12" t="s">
        <v>50</v>
      </c>
      <c r="G12" s="16" t="s">
        <v>32</v>
      </c>
    </row>
    <row r="13" spans="1:7" ht="39" x14ac:dyDescent="0.35">
      <c r="A13" s="7">
        <v>12</v>
      </c>
      <c r="B13" s="4" t="s">
        <v>51</v>
      </c>
      <c r="C13" s="4" t="s">
        <v>48</v>
      </c>
      <c r="D13" s="11" t="s">
        <v>52</v>
      </c>
      <c r="E13" s="11" t="s">
        <v>53</v>
      </c>
      <c r="F13" s="11" t="s">
        <v>54</v>
      </c>
      <c r="G13" s="15" t="s">
        <v>32</v>
      </c>
    </row>
    <row r="14" spans="1:7" ht="39" x14ac:dyDescent="0.35">
      <c r="A14" s="8">
        <v>13</v>
      </c>
      <c r="B14" s="3" t="s">
        <v>55</v>
      </c>
      <c r="C14" s="3" t="s">
        <v>48</v>
      </c>
      <c r="D14" s="12" t="s">
        <v>56</v>
      </c>
      <c r="E14" s="12" t="s">
        <v>57</v>
      </c>
      <c r="F14" s="12" t="s">
        <v>58</v>
      </c>
      <c r="G14" s="16" t="s">
        <v>32</v>
      </c>
    </row>
    <row r="15" spans="1:7" ht="39" x14ac:dyDescent="0.35">
      <c r="A15" s="7">
        <v>14</v>
      </c>
      <c r="B15" s="4" t="s">
        <v>59</v>
      </c>
      <c r="C15" s="4" t="s">
        <v>48</v>
      </c>
      <c r="D15" s="11" t="s">
        <v>60</v>
      </c>
      <c r="E15" s="11" t="s">
        <v>61</v>
      </c>
      <c r="F15" s="11" t="s">
        <v>62</v>
      </c>
      <c r="G15" s="15" t="s">
        <v>32</v>
      </c>
    </row>
    <row r="16" spans="1:7" ht="39" x14ac:dyDescent="0.35">
      <c r="A16" s="8">
        <v>15</v>
      </c>
      <c r="B16" s="3" t="s">
        <v>63</v>
      </c>
      <c r="C16" s="3" t="s">
        <v>48</v>
      </c>
      <c r="D16" s="12" t="s">
        <v>64</v>
      </c>
      <c r="E16" s="12" t="s">
        <v>65</v>
      </c>
      <c r="F16" s="12" t="s">
        <v>66</v>
      </c>
      <c r="G16" s="16" t="s">
        <v>32</v>
      </c>
    </row>
    <row r="17" spans="1:7" ht="39" x14ac:dyDescent="0.35">
      <c r="A17" s="9">
        <v>16</v>
      </c>
      <c r="B17" s="5" t="s">
        <v>67</v>
      </c>
      <c r="C17" s="5" t="s">
        <v>48</v>
      </c>
      <c r="D17" s="13" t="s">
        <v>68</v>
      </c>
      <c r="E17" s="13" t="s">
        <v>69</v>
      </c>
      <c r="F17" s="13" t="s">
        <v>70</v>
      </c>
      <c r="G17" s="17" t="s">
        <v>32</v>
      </c>
    </row>
  </sheetData>
  <conditionalFormatting sqref="G2:G17">
    <cfRule type="expression" dxfId="1" priority="1">
      <formula>G2="Received"</formula>
    </cfRule>
  </conditionalFormatting>
  <conditionalFormatting sqref="G2:G17">
    <cfRule type="expression" dxfId="0" priority="2">
      <formula>G2="Pending"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r2f_scenario_tracker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Venkatesh Subramanian [CONN]</cp:lastModifiedBy>
  <dcterms:created xsi:type="dcterms:W3CDTF">2026-10-21T10:59:00Z</dcterms:created>
  <dcterms:modified xsi:type="dcterms:W3CDTF">2026-10-21T10:59:00Z</dcterms:modified>
</cp:coreProperties>
</file>